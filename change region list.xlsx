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browne-my.sharepoint.com/personal/ayang_etbrowne_com/Documents/Desktop/"/>
    </mc:Choice>
  </mc:AlternateContent>
  <xr:revisionPtr revIDLastSave="111" documentId="8_{F9460F1D-60C8-455F-9C63-1831A6B09EF3}" xr6:coauthVersionLast="47" xr6:coauthVersionMax="47" xr10:uidLastSave="{31171CE1-E515-4234-8C84-137384A55411}"/>
  <bookViews>
    <workbookView xWindow="-38520" yWindow="-120" windowWidth="38640" windowHeight="15720" activeTab="1" xr2:uid="{2857911D-BF84-47BF-9610-A831E1B07894}"/>
  </bookViews>
  <sheets>
    <sheet name="Sheet2" sheetId="2" r:id="rId1"/>
    <sheet name="Sheet1" sheetId="1" r:id="rId2"/>
  </sheets>
  <definedNames>
    <definedName name="createTextWithSingleQuote">_xlfn.LAMBDA(_xlpm.text, CONCATENATE("'",SUBSTITUTE(_xlpm.text, "'", "''"),"'"))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" i="1" l="1"/>
  <c r="N46" i="1"/>
  <c r="N53" i="1"/>
  <c r="N52" i="1"/>
  <c r="N51" i="1"/>
  <c r="N50" i="1"/>
  <c r="N49" i="1"/>
  <c r="N48" i="1"/>
  <c r="N47" i="1"/>
  <c r="N44" i="1"/>
  <c r="N43" i="1"/>
  <c r="N42" i="1"/>
  <c r="N41" i="1"/>
  <c r="N40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5" i="1"/>
  <c r="N3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<sst xmlns="http://schemas.openxmlformats.org/spreadsheetml/2006/main" count="419" uniqueCount="94">
  <si>
    <t>Gross Sales</t>
  </si>
  <si>
    <t>Customer</t>
  </si>
  <si>
    <t>Name</t>
  </si>
  <si>
    <t>CustomerClass</t>
  </si>
  <si>
    <t>Description</t>
  </si>
  <si>
    <t>OLD AREA</t>
  </si>
  <si>
    <t>NEW AREA</t>
  </si>
  <si>
    <t>OLD Fcast Warehouse</t>
  </si>
  <si>
    <t>NEW Fcast Warehouse</t>
  </si>
  <si>
    <t>Moving to Region 1</t>
  </si>
  <si>
    <t>CARIB SALES, LLC.</t>
  </si>
  <si>
    <t>WHOLESALER</t>
  </si>
  <si>
    <t>Change from R2 to R1</t>
  </si>
  <si>
    <t>R2</t>
  </si>
  <si>
    <t>R1</t>
  </si>
  <si>
    <t>z02CARIBSA</t>
  </si>
  <si>
    <t>z01CARIBSA</t>
  </si>
  <si>
    <t>STAR &amp; BEE SALES</t>
  </si>
  <si>
    <t>z02OTHER</t>
  </si>
  <si>
    <t>z01OTHER</t>
  </si>
  <si>
    <t>GLOBAL BEAUTY CORP.</t>
  </si>
  <si>
    <t>BEN'S BEAUTY-PHILADELPHIA</t>
  </si>
  <si>
    <t>BEN'S BTY-JESSUP-RAPPA</t>
  </si>
  <si>
    <t>7 DOLLAR BEAUTY SUPPLY</t>
  </si>
  <si>
    <t>EMPRESS BEAUTY DIST</t>
  </si>
  <si>
    <t>QH WHOLESALE &amp; DISTRIBUTION</t>
  </si>
  <si>
    <t>AMIS BEAUTY</t>
  </si>
  <si>
    <t>BEAUTY SUPPLY WHOLESALER</t>
  </si>
  <si>
    <t>KAS BEAUTY SUPPLY</t>
  </si>
  <si>
    <t>BEAUTY SHOP</t>
  </si>
  <si>
    <t>BEN'S BEAUTY SUPPLY-HOUSTON</t>
  </si>
  <si>
    <t xml:space="preserve">- </t>
  </si>
  <si>
    <t>BESCO BEAUTY SUPPLY</t>
  </si>
  <si>
    <t>SME, INC. USA</t>
  </si>
  <si>
    <t>DRUG WHOLESALER</t>
  </si>
  <si>
    <t>CICELY'S HAIR &amp; BTY.</t>
  </si>
  <si>
    <t>ALBERTO CORTES COSMETICS &amp; PER</t>
  </si>
  <si>
    <t>MACRO STORE LLC.</t>
  </si>
  <si>
    <t>ALT CHANNEL</t>
  </si>
  <si>
    <t>BEAUTY WORLD -DURHAM</t>
  </si>
  <si>
    <t>W.B.E. HAIR DESIGN</t>
  </si>
  <si>
    <t>DRUG EMPORIUM 262</t>
  </si>
  <si>
    <t>DRUG</t>
  </si>
  <si>
    <t>CARIBBEAN PHARMACEUTICALS</t>
  </si>
  <si>
    <t>ATLANTA 1 TRADING</t>
  </si>
  <si>
    <t>USA BEAUTY CARE INC.</t>
  </si>
  <si>
    <t>ADONIS BEAUTY INC.</t>
  </si>
  <si>
    <t>FIRST CHOICE 2015 INC.</t>
  </si>
  <si>
    <t>---</t>
  </si>
  <si>
    <t>WE GROWING INC.</t>
  </si>
  <si>
    <t>FOUR SEASONS GENERAL MDSE</t>
  </si>
  <si>
    <t>MINIMUS</t>
  </si>
  <si>
    <t>TEN TEN TRADING</t>
  </si>
  <si>
    <t>U.S. TRADING</t>
  </si>
  <si>
    <t>ATLASSPHERE USA LLC</t>
  </si>
  <si>
    <t>GENESIS BEAUTY LLC DBA BEAUTY WORLD</t>
  </si>
  <si>
    <t>GLOBAL DISTRIBUTORS, INC.</t>
  </si>
  <si>
    <t>Change from R4 to R1</t>
  </si>
  <si>
    <t>R4</t>
  </si>
  <si>
    <t>z04OTHER</t>
  </si>
  <si>
    <t>MAMADO INTERNATIONAL LLC</t>
  </si>
  <si>
    <t>Moving to Region 2</t>
  </si>
  <si>
    <t>PEYTON'S INC.</t>
  </si>
  <si>
    <t>FOOD</t>
  </si>
  <si>
    <t>Change from R6 to R2</t>
  </si>
  <si>
    <t>R6</t>
  </si>
  <si>
    <t>z06PEYTON</t>
  </si>
  <si>
    <t>z02PEYTON</t>
  </si>
  <si>
    <t>MEIJER INC.</t>
  </si>
  <si>
    <t>z06MEIJER</t>
  </si>
  <si>
    <t>z02MEIJER</t>
  </si>
  <si>
    <t>L&amp;R DISTRIBUTORS, INC.</t>
  </si>
  <si>
    <t>KEEFE SUPPLY COMPANY</t>
  </si>
  <si>
    <t>z06OTHER</t>
  </si>
  <si>
    <t>BIG LOTS STORES, INC.</t>
  </si>
  <si>
    <t>VALUE</t>
  </si>
  <si>
    <t>z06BIGLOTS</t>
  </si>
  <si>
    <t>z02BIGLOTS</t>
  </si>
  <si>
    <t>Moving to Region 6</t>
  </si>
  <si>
    <t>AMERISOURCE</t>
  </si>
  <si>
    <t>Change from R1 to R6</t>
  </si>
  <si>
    <t>MCKESSON</t>
  </si>
  <si>
    <t>Change from R2 to R6</t>
  </si>
  <si>
    <t>MEDLINE INDUSTRIES</t>
  </si>
  <si>
    <t>Change from R4 to R6</t>
  </si>
  <si>
    <t>MORRIS &amp; DICKSON</t>
  </si>
  <si>
    <t>NAVAJO MANUFACTURING CO.</t>
  </si>
  <si>
    <t>NC MUTUAL WHLSE DRUG CO</t>
  </si>
  <si>
    <t>SMITH WHOLESALE DRUG</t>
  </si>
  <si>
    <t>ENDURANCE REHABILITATION</t>
  </si>
  <si>
    <t>vstack</t>
  </si>
  <si>
    <t>(blank)</t>
  </si>
  <si>
    <t>Grand Total</t>
  </si>
  <si>
    <t>ASSOCIATED FOOD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</si>
</sst>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1"/>
      <color rgb="FF009242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6" fontId="5" fillId="0" borderId="7" xfId="0" applyNumberFormat="1" applyFont="1" applyBorder="1" applyAlignment="1">
      <alignment horizontal="right" vertical="center"/>
    </xf>
    <xf numFmtId="6" fontId="5" fillId="0" borderId="0" xfId="0" applyNumberFormat="1" applyFont="1" applyAlignment="1">
      <alignment horizontal="right" vertical="center"/>
    </xf>
    <xf numFmtId="6" fontId="5" fillId="0" borderId="8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6" fontId="5" fillId="0" borderId="1" xfId="0" applyNumberFormat="1" applyFont="1" applyBorder="1" applyAlignment="1">
      <alignment horizontal="right" vertical="center"/>
    </xf>
    <xf numFmtId="6" fontId="5" fillId="0" borderId="2" xfId="0" applyNumberFormat="1" applyFont="1" applyBorder="1" applyAlignment="1">
      <alignment horizontal="right" vertical="center"/>
    </xf>
    <xf numFmtId="6" fontId="5" fillId="0" borderId="9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6" fontId="5" fillId="0" borderId="5" xfId="0" applyNumberFormat="1" applyFont="1" applyBorder="1" applyAlignment="1">
      <alignment horizontal="right" vertical="center"/>
    </xf>
    <xf numFmtId="6" fontId="5" fillId="0" borderId="4" xfId="0" applyNumberFormat="1" applyFont="1" applyBorder="1" applyAlignment="1">
      <alignment horizontal="right" vertical="center"/>
    </xf>
    <xf numFmtId="6" fontId="5" fillId="0" borderId="6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pivotButton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9" fillId="0" borderId="0" xfId="0" applyFont="1"/>
    <xf numFmtId="0" fontId="4" fillId="0" borderId="2" xfId="0" applyFont="1" applyBorder="1" applyAlignment="1">
      <alignment vertical="center"/>
    </xf>
    <xf numFmtId="0" fontId="8" fillId="0" borderId="0" xfId="0" applyFont="1"/>
    <xf numFmtId="0" fontId="5" fillId="3" borderId="1" xfId="0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right" vertical="center"/>
    </xf>
    <xf numFmtId="6" fontId="5" fillId="3" borderId="4" xfId="0" applyNumberFormat="1" applyFont="1" applyFill="1" applyBorder="1" applyAlignment="1">
      <alignment horizontal="right" vertical="center"/>
    </xf>
    <xf numFmtId="6" fontId="5" fillId="3" borderId="6" xfId="0" applyNumberFormat="1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23/09/relationships/Python" Target="pyth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Yang" refreshedDate="46043.660779050922" createdVersion="8" refreshedVersion="8" minRefreshableVersion="3" recordCount="51" xr:uid="{DD7E8ECA-DF8F-4BDD-AA94-B5373A6A8F43}">
  <cacheSource type="worksheet">
    <worksheetSource ref="K3:L54" sheet="Sheet1"/>
  </cacheSource>
  <cacheFields count="2">
    <cacheField name="OLD Fcast Warehouse" numFmtId="0">
      <sharedItems containsBlank="1" count="9">
        <m/>
        <s v="z02CARIBSA"/>
        <s v="z02OTHER"/>
        <s v="z04OTHER"/>
        <s v="z06PEYTON"/>
        <s v="z06MEIJER"/>
        <s v="z01OTHER"/>
        <s v="z06OTHER"/>
        <s v="z06BIGLOTS"/>
      </sharedItems>
    </cacheField>
    <cacheField name="NEW Fcast Warehouse" numFmtId="0">
      <sharedItems containsBlank="1" count="8">
        <m/>
        <s v="z01CARIBSA"/>
        <s v="z01OTHER"/>
        <s v="z02PEYTON"/>
        <s v="z02MEIJER"/>
        <s v="z02OTHER"/>
        <s v="z02BIGLOTS"/>
        <s v="z06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2"/>
  </r>
  <r>
    <x v="3"/>
    <x v="2"/>
  </r>
  <r>
    <x v="0"/>
    <x v="0"/>
  </r>
  <r>
    <x v="4"/>
    <x v="3"/>
  </r>
  <r>
    <x v="5"/>
    <x v="4"/>
  </r>
  <r>
    <x v="6"/>
    <x v="5"/>
  </r>
  <r>
    <x v="7"/>
    <x v="5"/>
  </r>
  <r>
    <x v="8"/>
    <x v="6"/>
  </r>
  <r>
    <x v="0"/>
    <x v="0"/>
  </r>
  <r>
    <x v="6"/>
    <x v="7"/>
  </r>
  <r>
    <x v="2"/>
    <x v="7"/>
  </r>
  <r>
    <x v="3"/>
    <x v="7"/>
  </r>
  <r>
    <x v="2"/>
    <x v="7"/>
  </r>
  <r>
    <x v="2"/>
    <x v="7"/>
  </r>
  <r>
    <x v="2"/>
    <x v="7"/>
  </r>
  <r>
    <x v="2"/>
    <x v="7"/>
  </r>
  <r>
    <x v="3"/>
    <x v="7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8DEB8-25DD-44C0-827C-F1D40D94AF1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17" firstHeaderRow="2" firstDataRow="2" firstDataCol="2"/>
  <pivotFields count="2">
    <pivotField axis="axisRow" compact="0" outline="0" showAll="0" defaultSubtotal="0">
      <items count="9">
        <item x="6"/>
        <item x="1"/>
        <item x="2"/>
        <item x="3"/>
        <item x="8"/>
        <item x="5"/>
        <item x="7"/>
        <item x="4"/>
        <item x="0"/>
      </items>
    </pivotField>
    <pivotField axis="axisRow" compact="0" outline="0" showAll="0">
      <items count="9">
        <item x="1"/>
        <item x="2"/>
        <item x="6"/>
        <item x="4"/>
        <item x="5"/>
        <item x="3"/>
        <item x="7"/>
        <item x="0"/>
        <item t="default"/>
      </items>
    </pivotField>
  </pivotFields>
  <rowFields count="2">
    <field x="0"/>
    <field x="1"/>
  </rowFields>
  <rowItems count="13">
    <i>
      <x/>
      <x v="4"/>
    </i>
    <i r="1">
      <x v="6"/>
    </i>
    <i>
      <x v="1"/>
      <x/>
    </i>
    <i>
      <x v="2"/>
      <x v="1"/>
    </i>
    <i r="1">
      <x v="6"/>
    </i>
    <i>
      <x v="3"/>
      <x v="1"/>
    </i>
    <i r="1">
      <x v="6"/>
    </i>
    <i>
      <x v="4"/>
      <x v="2"/>
    </i>
    <i>
      <x v="5"/>
      <x v="3"/>
    </i>
    <i>
      <x v="6"/>
      <x v="4"/>
    </i>
    <i>
      <x v="7"/>
      <x v="5"/>
    </i>
    <i>
      <x v="8"/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1661-2F73-4918-A763-E0F088BFE4CC}">
  <dimension ref="A4:B17"/>
  <sheetViews>
    <sheetView workbookViewId="0">
      <selection activeCell="I30" sqref="I30"/>
    </sheetView>
  </sheetViews>
  <sheetFormatPr defaultRowHeight="15" x14ac:dyDescent="0.25"/>
  <cols>
    <col min="1" max="1" width="14.85546875" bestFit="1" customWidth="1"/>
    <col min="2" max="2" width="24" bestFit="1" customWidth="1"/>
  </cols>
  <sheetData>
    <row r="4" spans="1:2" x14ac:dyDescent="0.25">
      <c r="A4" s="33" t="s">
        <v>7</v>
      </c>
      <c r="B4" s="33" t="s">
        <v>8</v>
      </c>
    </row>
    <row r="5" spans="1:2" x14ac:dyDescent="0.25">
      <c r="A5" t="s">
        <v>19</v>
      </c>
      <c r="B5" t="s">
        <v>18</v>
      </c>
    </row>
    <row r="6" spans="1:2" x14ac:dyDescent="0.25">
      <c r="B6" t="s">
        <v>73</v>
      </c>
    </row>
    <row r="7" spans="1:2" x14ac:dyDescent="0.25">
      <c r="A7" t="s">
        <v>15</v>
      </c>
      <c r="B7" t="s">
        <v>16</v>
      </c>
    </row>
    <row r="8" spans="1:2" x14ac:dyDescent="0.25">
      <c r="A8" t="s">
        <v>18</v>
      </c>
      <c r="B8" t="s">
        <v>19</v>
      </c>
    </row>
    <row r="9" spans="1:2" x14ac:dyDescent="0.25">
      <c r="B9" t="s">
        <v>73</v>
      </c>
    </row>
    <row r="10" spans="1:2" x14ac:dyDescent="0.25">
      <c r="A10" t="s">
        <v>59</v>
      </c>
      <c r="B10" t="s">
        <v>19</v>
      </c>
    </row>
    <row r="11" spans="1:2" x14ac:dyDescent="0.25">
      <c r="B11" t="s">
        <v>73</v>
      </c>
    </row>
    <row r="12" spans="1:2" x14ac:dyDescent="0.25">
      <c r="A12" t="s">
        <v>76</v>
      </c>
      <c r="B12" t="s">
        <v>77</v>
      </c>
    </row>
    <row r="13" spans="1:2" x14ac:dyDescent="0.25">
      <c r="A13" t="s">
        <v>69</v>
      </c>
      <c r="B13" t="s">
        <v>70</v>
      </c>
    </row>
    <row r="14" spans="1:2" x14ac:dyDescent="0.25">
      <c r="A14" t="s">
        <v>73</v>
      </c>
      <c r="B14" t="s">
        <v>18</v>
      </c>
    </row>
    <row r="15" spans="1:2" x14ac:dyDescent="0.25">
      <c r="A15" t="s">
        <v>66</v>
      </c>
      <c r="B15" t="s">
        <v>67</v>
      </c>
    </row>
    <row r="16" spans="1:2" x14ac:dyDescent="0.25">
      <c r="A16" t="s">
        <v>91</v>
      </c>
      <c r="B16" t="s">
        <v>91</v>
      </c>
    </row>
    <row r="17" spans="1:1" x14ac:dyDescent="0.25">
      <c r="A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773C-4022-479E-960D-340F07EE46BE}">
  <dimension ref="A1:N55"/>
  <sheetViews>
    <sheetView tabSelected="1" topLeftCell="A22" workbookViewId="0">
      <selection activeCell="M40" sqref="M40"/>
    </sheetView>
  </sheetViews>
  <sheetFormatPr defaultRowHeight="15" x14ac:dyDescent="0.25"/>
  <cols>
    <col min="1" max="1" width="9.5703125" bestFit="1" customWidth="1"/>
    <col min="2" max="2" width="38" bestFit="1" customWidth="1"/>
    <col min="3" max="3" width="18.42578125" bestFit="1" customWidth="1"/>
    <col min="4" max="7" width="10.85546875" bestFit="1" customWidth="1"/>
    <col min="8" max="8" width="20" bestFit="1" customWidth="1"/>
    <col min="9" max="9" width="9.7109375" bestFit="1" customWidth="1"/>
    <col min="10" max="10" width="10.5703125" bestFit="1" customWidth="1"/>
    <col min="11" max="12" width="11.42578125" bestFit="1" customWidth="1"/>
    <col min="13" max="13" width="33.7109375" bestFit="1" customWidth="1"/>
    <col min="14" max="14" width="136.85546875" bestFit="1" customWidth="1"/>
  </cols>
  <sheetData>
    <row r="1" spans="1:14" ht="16.5" thickBot="1" x14ac:dyDescent="0.3">
      <c r="A1" s="1"/>
    </row>
    <row r="2" spans="1:14" ht="15.75" thickBot="1" x14ac:dyDescent="0.3">
      <c r="A2" s="2"/>
      <c r="B2" s="2"/>
      <c r="C2" s="2"/>
      <c r="D2" s="34" t="s">
        <v>0</v>
      </c>
      <c r="E2" s="35"/>
      <c r="F2" s="35"/>
      <c r="G2" s="36"/>
      <c r="H2" s="2"/>
      <c r="I2" s="2"/>
      <c r="J2" s="2"/>
      <c r="K2" s="2"/>
      <c r="L2" s="2"/>
    </row>
    <row r="3" spans="1:14" ht="30.75" thickBot="1" x14ac:dyDescent="0.3">
      <c r="A3" s="3" t="s">
        <v>1</v>
      </c>
      <c r="B3" s="3" t="s">
        <v>2</v>
      </c>
      <c r="C3" s="3" t="s">
        <v>3</v>
      </c>
      <c r="D3" s="4">
        <v>2023</v>
      </c>
      <c r="E3" s="5">
        <v>2024</v>
      </c>
      <c r="F3" s="5">
        <v>2025</v>
      </c>
      <c r="G3" s="6">
        <v>2026</v>
      </c>
      <c r="H3" s="3" t="s">
        <v>4</v>
      </c>
      <c r="I3" s="7" t="s">
        <v>5</v>
      </c>
      <c r="J3" s="7" t="s">
        <v>6</v>
      </c>
      <c r="K3" s="8" t="s">
        <v>7</v>
      </c>
      <c r="L3" s="8" t="s">
        <v>8</v>
      </c>
      <c r="M3" t="s">
        <v>90</v>
      </c>
      <c r="N3" t="str">
        <f>_xlfn.CONCAT("INSERT INTO TempChangeRegion (",A3," , ",B3," ,",C3," ,",H3," ,",I3," ,",J3," ,",K3," ,",L3,")  VALUES ")</f>
        <v xml:space="preserve">INSERT INTO TempChangeRegion (Customer , Name ,CustomerClass ,Description ,OLD AREA ,NEW AREA ,OLD Fcast Warehouse ,NEW Fcast Warehouse)  VALUES </v>
      </c>
    </row>
    <row r="4" spans="1:14" x14ac:dyDescent="0.25">
      <c r="A4" s="37" t="s">
        <v>9</v>
      </c>
      <c r="B4" s="37"/>
      <c r="C4" s="43"/>
      <c r="D4" s="9"/>
      <c r="E4" s="43"/>
      <c r="F4" s="43"/>
      <c r="G4" s="10"/>
      <c r="H4" s="43"/>
      <c r="I4" s="43"/>
      <c r="J4" s="43"/>
      <c r="K4" s="43"/>
      <c r="L4" s="43"/>
    </row>
    <row r="5" spans="1:14" ht="15.75" thickBot="1" x14ac:dyDescent="0.3">
      <c r="A5" s="11">
        <v>109325</v>
      </c>
      <c r="B5" s="11" t="s">
        <v>10</v>
      </c>
      <c r="C5" s="11" t="s">
        <v>11</v>
      </c>
      <c r="D5" s="12">
        <v>696578</v>
      </c>
      <c r="E5" s="13">
        <v>706102</v>
      </c>
      <c r="F5" s="13">
        <v>478127</v>
      </c>
      <c r="G5" s="14">
        <v>770844</v>
      </c>
      <c r="H5" s="11" t="s">
        <v>12</v>
      </c>
      <c r="I5" s="15" t="s">
        <v>13</v>
      </c>
      <c r="J5" s="16" t="s">
        <v>14</v>
      </c>
      <c r="K5" s="15" t="s">
        <v>15</v>
      </c>
      <c r="L5" s="16" t="s">
        <v>16</v>
      </c>
      <c r="N5" t="str">
        <f>"("&amp;A5 &amp;","&amp; _xlfn.TEXTJOIN(",",A5,createTextWithSingleQuote(B5),createTextWithSingleQuote(C5),createTextWithSingleQuote(H5),createTextWithSingleQuote(I5),createTextWithSingleQuote(J5),createTextWithSingleQuote(K5),createTextWithSingleQuote(L5))&amp;"),"</f>
        <v>(109325,'CARIB SALES, LLC.','WHOLESALER','Change from R2 to R1','R2','R1','z02CARIBSA','z01CARIBSA'),</v>
      </c>
    </row>
    <row r="6" spans="1:14" ht="15.75" thickBot="1" x14ac:dyDescent="0.3">
      <c r="A6" s="17">
        <v>105140</v>
      </c>
      <c r="B6" s="17" t="s">
        <v>17</v>
      </c>
      <c r="C6" s="17" t="s">
        <v>11</v>
      </c>
      <c r="D6" s="18">
        <v>321153</v>
      </c>
      <c r="E6" s="19">
        <v>445824</v>
      </c>
      <c r="F6" s="19">
        <v>335972</v>
      </c>
      <c r="G6" s="20">
        <v>333536</v>
      </c>
      <c r="H6" s="17" t="s">
        <v>12</v>
      </c>
      <c r="I6" s="21" t="s">
        <v>13</v>
      </c>
      <c r="J6" s="22" t="s">
        <v>14</v>
      </c>
      <c r="K6" s="21" t="s">
        <v>18</v>
      </c>
      <c r="L6" s="22" t="s">
        <v>19</v>
      </c>
      <c r="N6" t="str">
        <f>"("&amp;A6 &amp;","&amp; _xlfn.TEXTJOIN(",",A6,createTextWithSingleQuote(B6),createTextWithSingleQuote(C6),createTextWithSingleQuote(H6),createTextWithSingleQuote(I6),createTextWithSingleQuote(J6),createTextWithSingleQuote(K6),createTextWithSingleQuote(L6))&amp;"),"</f>
        <v>(105140,'STAR &amp; BEE SALES','WHOLESALER','Change from R2 to R1','R2','R1','z02OTHER','z01OTHER'),</v>
      </c>
    </row>
    <row r="7" spans="1:14" ht="15.75" thickBot="1" x14ac:dyDescent="0.3">
      <c r="A7" s="23">
        <v>124129</v>
      </c>
      <c r="B7" s="23" t="s">
        <v>20</v>
      </c>
      <c r="C7" s="23" t="s">
        <v>11</v>
      </c>
      <c r="D7" s="24">
        <v>156385</v>
      </c>
      <c r="E7" s="25">
        <v>200301</v>
      </c>
      <c r="F7" s="25">
        <v>271647</v>
      </c>
      <c r="G7" s="26">
        <v>285858</v>
      </c>
      <c r="H7" s="23" t="s">
        <v>12</v>
      </c>
      <c r="I7" s="27" t="s">
        <v>13</v>
      </c>
      <c r="J7" s="28" t="s">
        <v>14</v>
      </c>
      <c r="K7" s="27" t="s">
        <v>18</v>
      </c>
      <c r="L7" s="28" t="s">
        <v>19</v>
      </c>
      <c r="N7" t="str">
        <f>"("&amp;A7 &amp;","&amp; _xlfn.TEXTJOIN(",",A7,createTextWithSingleQuote(B7),createTextWithSingleQuote(C7),createTextWithSingleQuote(H7),createTextWithSingleQuote(I7),createTextWithSingleQuote(J7),createTextWithSingleQuote(K7),createTextWithSingleQuote(L7))&amp;"),"</f>
        <v>(124129,'GLOBAL BEAUTY CORP.','WHOLESALER','Change from R2 to R1','R2','R1','z02OTHER','z01OTHER'),</v>
      </c>
    </row>
    <row r="8" spans="1:14" ht="15.75" thickBot="1" x14ac:dyDescent="0.3">
      <c r="A8" s="23">
        <v>105833</v>
      </c>
      <c r="B8" s="23" t="s">
        <v>21</v>
      </c>
      <c r="C8" s="23" t="s">
        <v>11</v>
      </c>
      <c r="D8" s="24">
        <v>273990</v>
      </c>
      <c r="E8" s="25">
        <v>208821</v>
      </c>
      <c r="F8" s="25">
        <v>318773</v>
      </c>
      <c r="G8" s="26">
        <v>239568</v>
      </c>
      <c r="H8" s="23" t="s">
        <v>12</v>
      </c>
      <c r="I8" s="27" t="s">
        <v>13</v>
      </c>
      <c r="J8" s="28" t="s">
        <v>14</v>
      </c>
      <c r="K8" s="27" t="s">
        <v>18</v>
      </c>
      <c r="L8" s="28" t="s">
        <v>19</v>
      </c>
      <c r="N8" t="str">
        <f>"("&amp;A8 &amp;","&amp; _xlfn.TEXTJOIN(",",A8,createTextWithSingleQuote(B8),createTextWithSingleQuote(C8),createTextWithSingleQuote(H8),createTextWithSingleQuote(I8),createTextWithSingleQuote(J8),createTextWithSingleQuote(K8),createTextWithSingleQuote(L8))&amp;"),"</f>
        <v>(105833,'BEN''S BEAUTY-PHILADELPHIA','WHOLESALER','Change from R2 to R1','R2','R1','z02OTHER','z01OTHER'),</v>
      </c>
    </row>
    <row r="9" spans="1:14" ht="15.75" thickBot="1" x14ac:dyDescent="0.3">
      <c r="A9" s="23">
        <v>105832</v>
      </c>
      <c r="B9" s="23" t="s">
        <v>22</v>
      </c>
      <c r="C9" s="23" t="s">
        <v>11</v>
      </c>
      <c r="D9" s="24">
        <v>255708</v>
      </c>
      <c r="E9" s="25">
        <v>284470</v>
      </c>
      <c r="F9" s="25">
        <v>281402</v>
      </c>
      <c r="G9" s="26">
        <v>221783</v>
      </c>
      <c r="H9" s="23" t="s">
        <v>12</v>
      </c>
      <c r="I9" s="27" t="s">
        <v>13</v>
      </c>
      <c r="J9" s="28" t="s">
        <v>14</v>
      </c>
      <c r="K9" s="27" t="s">
        <v>18</v>
      </c>
      <c r="L9" s="28" t="s">
        <v>19</v>
      </c>
      <c r="N9" t="str">
        <f>"("&amp;A9 &amp;","&amp; _xlfn.TEXTJOIN(",",A9,createTextWithSingleQuote(B9),createTextWithSingleQuote(C9),createTextWithSingleQuote(H9),createTextWithSingleQuote(I9),createTextWithSingleQuote(J9),createTextWithSingleQuote(K9),createTextWithSingleQuote(L9))&amp;"),"</f>
        <v>(105832,'BEN''S BTY-JESSUP-RAPPA','WHOLESALER','Change from R2 to R1','R2','R1','z02OTHER','z01OTHER'),</v>
      </c>
    </row>
    <row r="10" spans="1:14" ht="15.75" thickBot="1" x14ac:dyDescent="0.3">
      <c r="A10" s="23">
        <v>159626</v>
      </c>
      <c r="B10" s="23" t="s">
        <v>23</v>
      </c>
      <c r="C10" s="23" t="s">
        <v>11</v>
      </c>
      <c r="D10" s="24">
        <v>116250</v>
      </c>
      <c r="E10" s="25">
        <v>182170</v>
      </c>
      <c r="F10" s="25">
        <v>141547</v>
      </c>
      <c r="G10" s="26">
        <v>164636</v>
      </c>
      <c r="H10" s="23" t="s">
        <v>12</v>
      </c>
      <c r="I10" s="27" t="s">
        <v>13</v>
      </c>
      <c r="J10" s="28" t="s">
        <v>14</v>
      </c>
      <c r="K10" s="27" t="s">
        <v>18</v>
      </c>
      <c r="L10" s="28" t="s">
        <v>19</v>
      </c>
      <c r="N10" t="str">
        <f>"("&amp;A10 &amp;","&amp; _xlfn.TEXTJOIN(",",A10,createTextWithSingleQuote(B10),createTextWithSingleQuote(C10),createTextWithSingleQuote(H10),createTextWithSingleQuote(I10),createTextWithSingleQuote(J10),createTextWithSingleQuote(K10),createTextWithSingleQuote(L10))&amp;"),"</f>
        <v>(159626,'7 DOLLAR BEAUTY SUPPLY','WHOLESALER','Change from R2 to R1','R2','R1','z02OTHER','z01OTHER'),</v>
      </c>
    </row>
    <row r="11" spans="1:14" ht="15.75" thickBot="1" x14ac:dyDescent="0.3">
      <c r="A11" s="23">
        <v>119135</v>
      </c>
      <c r="B11" s="23" t="s">
        <v>24</v>
      </c>
      <c r="C11" s="23" t="s">
        <v>11</v>
      </c>
      <c r="D11" s="24">
        <v>61059</v>
      </c>
      <c r="E11" s="25">
        <v>73674</v>
      </c>
      <c r="F11" s="25">
        <v>78608</v>
      </c>
      <c r="G11" s="26">
        <v>105039</v>
      </c>
      <c r="H11" s="23" t="s">
        <v>12</v>
      </c>
      <c r="I11" s="27" t="s">
        <v>13</v>
      </c>
      <c r="J11" s="28" t="s">
        <v>14</v>
      </c>
      <c r="K11" s="27" t="s">
        <v>18</v>
      </c>
      <c r="L11" s="28" t="s">
        <v>19</v>
      </c>
      <c r="N11" t="str">
        <f>"("&amp;A11 &amp;","&amp; _xlfn.TEXTJOIN(",",A11,createTextWithSingleQuote(B11),createTextWithSingleQuote(C11),createTextWithSingleQuote(H11),createTextWithSingleQuote(I11),createTextWithSingleQuote(J11),createTextWithSingleQuote(K11),createTextWithSingleQuote(L11))&amp;"),"</f>
        <v>(119135,'EMPRESS BEAUTY DIST','WHOLESALER','Change from R2 to R1','R2','R1','z02OTHER','z01OTHER'),</v>
      </c>
    </row>
    <row r="12" spans="1:14" ht="15.75" thickBot="1" x14ac:dyDescent="0.3">
      <c r="A12" s="23">
        <v>153140</v>
      </c>
      <c r="B12" s="23" t="s">
        <v>25</v>
      </c>
      <c r="C12" s="23" t="s">
        <v>11</v>
      </c>
      <c r="D12" s="24">
        <v>79488</v>
      </c>
      <c r="E12" s="25">
        <v>68582</v>
      </c>
      <c r="F12" s="25">
        <v>109953</v>
      </c>
      <c r="G12" s="26">
        <v>98105</v>
      </c>
      <c r="H12" s="23" t="s">
        <v>12</v>
      </c>
      <c r="I12" s="27" t="s">
        <v>13</v>
      </c>
      <c r="J12" s="28" t="s">
        <v>14</v>
      </c>
      <c r="K12" s="27" t="s">
        <v>18</v>
      </c>
      <c r="L12" s="28" t="s">
        <v>19</v>
      </c>
      <c r="N12" t="str">
        <f>"("&amp;A12 &amp;","&amp; _xlfn.TEXTJOIN(",",A12,createTextWithSingleQuote(B12),createTextWithSingleQuote(C12),createTextWithSingleQuote(H12),createTextWithSingleQuote(I12),createTextWithSingleQuote(J12),createTextWithSingleQuote(K12),createTextWithSingleQuote(L12))&amp;"),"</f>
        <v>(153140,'QH WHOLESALE &amp; DISTRIBUTION','WHOLESALER','Change from R2 to R1','R2','R1','z02OTHER','z01OTHER'),</v>
      </c>
    </row>
    <row r="13" spans="1:14" ht="15.75" thickBot="1" x14ac:dyDescent="0.3">
      <c r="A13" s="23">
        <v>100827</v>
      </c>
      <c r="B13" s="23" t="s">
        <v>26</v>
      </c>
      <c r="C13" s="23" t="s">
        <v>11</v>
      </c>
      <c r="D13" s="24">
        <v>43007</v>
      </c>
      <c r="E13" s="25">
        <v>64603</v>
      </c>
      <c r="F13" s="25">
        <v>47365</v>
      </c>
      <c r="G13" s="26">
        <v>61551</v>
      </c>
      <c r="H13" s="23" t="s">
        <v>12</v>
      </c>
      <c r="I13" s="27" t="s">
        <v>13</v>
      </c>
      <c r="J13" s="28" t="s">
        <v>14</v>
      </c>
      <c r="K13" s="27" t="s">
        <v>18</v>
      </c>
      <c r="L13" s="28" t="s">
        <v>19</v>
      </c>
      <c r="N13" t="str">
        <f>"("&amp;A13 &amp;","&amp; _xlfn.TEXTJOIN(",",A13,createTextWithSingleQuote(B13),createTextWithSingleQuote(C13),createTextWithSingleQuote(H13),createTextWithSingleQuote(I13),createTextWithSingleQuote(J13),createTextWithSingleQuote(K13),createTextWithSingleQuote(L13))&amp;"),"</f>
        <v>(100827,'AMIS BEAUTY','WHOLESALER','Change from R2 to R1','R2','R1','z02OTHER','z01OTHER'),</v>
      </c>
    </row>
    <row r="14" spans="1:14" ht="15.75" thickBot="1" x14ac:dyDescent="0.3">
      <c r="A14" s="23">
        <v>102333</v>
      </c>
      <c r="B14" s="23" t="s">
        <v>27</v>
      </c>
      <c r="C14" s="23" t="s">
        <v>11</v>
      </c>
      <c r="D14" s="24">
        <v>44199</v>
      </c>
      <c r="E14" s="25">
        <v>34309</v>
      </c>
      <c r="F14" s="25">
        <v>36910</v>
      </c>
      <c r="G14" s="26">
        <v>56905</v>
      </c>
      <c r="H14" s="23" t="s">
        <v>12</v>
      </c>
      <c r="I14" s="27" t="s">
        <v>13</v>
      </c>
      <c r="J14" s="28" t="s">
        <v>14</v>
      </c>
      <c r="K14" s="27" t="s">
        <v>18</v>
      </c>
      <c r="L14" s="28" t="s">
        <v>19</v>
      </c>
      <c r="N14" t="str">
        <f>"("&amp;A14 &amp;","&amp; _xlfn.TEXTJOIN(",",A14,createTextWithSingleQuote(B14),createTextWithSingleQuote(C14),createTextWithSingleQuote(H14),createTextWithSingleQuote(I14),createTextWithSingleQuote(J14),createTextWithSingleQuote(K14),createTextWithSingleQuote(L14))&amp;"),"</f>
        <v>(102333,'BEAUTY SUPPLY WHOLESALER','WHOLESALER','Change from R2 to R1','R2','R1','z02OTHER','z01OTHER'),</v>
      </c>
    </row>
    <row r="15" spans="1:14" ht="15.75" thickBot="1" x14ac:dyDescent="0.3">
      <c r="A15" s="23">
        <v>135469</v>
      </c>
      <c r="B15" s="23" t="s">
        <v>28</v>
      </c>
      <c r="C15" s="23" t="s">
        <v>29</v>
      </c>
      <c r="D15" s="24">
        <v>36697</v>
      </c>
      <c r="E15" s="25">
        <v>44612</v>
      </c>
      <c r="F15" s="25">
        <v>27866</v>
      </c>
      <c r="G15" s="26">
        <v>31913</v>
      </c>
      <c r="H15" s="23" t="s">
        <v>12</v>
      </c>
      <c r="I15" s="27" t="s">
        <v>13</v>
      </c>
      <c r="J15" s="28" t="s">
        <v>14</v>
      </c>
      <c r="K15" s="27" t="s">
        <v>18</v>
      </c>
      <c r="L15" s="28" t="s">
        <v>19</v>
      </c>
      <c r="N15" t="str">
        <f>"("&amp;A15 &amp;","&amp; _xlfn.TEXTJOIN(",",A15,createTextWithSingleQuote(B15),createTextWithSingleQuote(C15),createTextWithSingleQuote(H15),createTextWithSingleQuote(I15),createTextWithSingleQuote(J15),createTextWithSingleQuote(K15),createTextWithSingleQuote(L15))&amp;"),"</f>
        <v>(135469,'KAS BEAUTY SUPPLY','BEAUTY SHOP','Change from R2 to R1','R2','R1','z02OTHER','z01OTHER'),</v>
      </c>
    </row>
    <row r="16" spans="1:14" ht="15.75" thickBot="1" x14ac:dyDescent="0.3">
      <c r="A16" s="23">
        <v>105830</v>
      </c>
      <c r="B16" s="23" t="s">
        <v>30</v>
      </c>
      <c r="C16" s="23" t="s">
        <v>11</v>
      </c>
      <c r="D16" s="29" t="s">
        <v>31</v>
      </c>
      <c r="E16" s="25">
        <v>66716</v>
      </c>
      <c r="F16" s="25">
        <v>46881</v>
      </c>
      <c r="G16" s="26">
        <v>28441</v>
      </c>
      <c r="H16" s="23" t="s">
        <v>12</v>
      </c>
      <c r="I16" s="27" t="s">
        <v>13</v>
      </c>
      <c r="J16" s="28" t="s">
        <v>14</v>
      </c>
      <c r="K16" s="27" t="s">
        <v>18</v>
      </c>
      <c r="L16" s="28" t="s">
        <v>19</v>
      </c>
      <c r="N16" t="str">
        <f>"("&amp;A16 &amp;","&amp; _xlfn.TEXTJOIN(",",A16,createTextWithSingleQuote(B16),createTextWithSingleQuote(C16),createTextWithSingleQuote(H16),createTextWithSingleQuote(I16),createTextWithSingleQuote(J16),createTextWithSingleQuote(K16),createTextWithSingleQuote(L16))&amp;"),"</f>
        <v>(105830,'BEN''S BEAUTY SUPPLY-HOUSTON','WHOLESALER','Change from R2 to R1','R2','R1','z02OTHER','z01OTHER'),</v>
      </c>
    </row>
    <row r="17" spans="1:14" ht="15.75" thickBot="1" x14ac:dyDescent="0.3">
      <c r="A17" s="23">
        <v>106200</v>
      </c>
      <c r="B17" s="23" t="s">
        <v>32</v>
      </c>
      <c r="C17" s="23" t="s">
        <v>11</v>
      </c>
      <c r="D17" s="24">
        <v>30052</v>
      </c>
      <c r="E17" s="25">
        <v>25583</v>
      </c>
      <c r="F17" s="25">
        <v>37430</v>
      </c>
      <c r="G17" s="26">
        <v>22167</v>
      </c>
      <c r="H17" s="23" t="s">
        <v>12</v>
      </c>
      <c r="I17" s="27" t="s">
        <v>13</v>
      </c>
      <c r="J17" s="28" t="s">
        <v>14</v>
      </c>
      <c r="K17" s="27" t="s">
        <v>18</v>
      </c>
      <c r="L17" s="28" t="s">
        <v>19</v>
      </c>
      <c r="N17" t="str">
        <f>"("&amp;A17 &amp;","&amp; _xlfn.TEXTJOIN(",",A17,createTextWithSingleQuote(B17),createTextWithSingleQuote(C17),createTextWithSingleQuote(H17),createTextWithSingleQuote(I17),createTextWithSingleQuote(J17),createTextWithSingleQuote(K17),createTextWithSingleQuote(L17))&amp;"),"</f>
        <v>(106200,'BESCO BEAUTY SUPPLY','WHOLESALER','Change from R2 to R1','R2','R1','z02OTHER','z01OTHER'),</v>
      </c>
    </row>
    <row r="18" spans="1:14" ht="15.75" thickBot="1" x14ac:dyDescent="0.3">
      <c r="A18" s="23">
        <v>124539</v>
      </c>
      <c r="B18" s="23" t="s">
        <v>33</v>
      </c>
      <c r="C18" s="23" t="s">
        <v>34</v>
      </c>
      <c r="D18" s="24">
        <v>15126</v>
      </c>
      <c r="E18" s="25">
        <v>17737</v>
      </c>
      <c r="F18" s="25">
        <v>20671</v>
      </c>
      <c r="G18" s="26">
        <v>17235</v>
      </c>
      <c r="H18" s="23" t="s">
        <v>12</v>
      </c>
      <c r="I18" s="27" t="s">
        <v>13</v>
      </c>
      <c r="J18" s="28" t="s">
        <v>14</v>
      </c>
      <c r="K18" s="27" t="s">
        <v>18</v>
      </c>
      <c r="L18" s="28" t="s">
        <v>19</v>
      </c>
      <c r="N18" t="str">
        <f>"("&amp;A18 &amp;","&amp; _xlfn.TEXTJOIN(",",A18,createTextWithSingleQuote(B18),createTextWithSingleQuote(C18),createTextWithSingleQuote(H18),createTextWithSingleQuote(I18),createTextWithSingleQuote(J18),createTextWithSingleQuote(K18),createTextWithSingleQuote(L18))&amp;"),"</f>
        <v>(124539,'SME, INC. USA','DRUG WHOLESALER','Change from R2 to R1','R2','R1','z02OTHER','z01OTHER'),</v>
      </c>
    </row>
    <row r="19" spans="1:14" ht="15.75" thickBot="1" x14ac:dyDescent="0.3">
      <c r="A19" s="23">
        <v>111130</v>
      </c>
      <c r="B19" s="23" t="s">
        <v>35</v>
      </c>
      <c r="C19" s="23" t="s">
        <v>29</v>
      </c>
      <c r="D19" s="24">
        <v>81996</v>
      </c>
      <c r="E19" s="25">
        <v>60241</v>
      </c>
      <c r="F19" s="25">
        <v>37844</v>
      </c>
      <c r="G19" s="26">
        <v>12244</v>
      </c>
      <c r="H19" s="23" t="s">
        <v>12</v>
      </c>
      <c r="I19" s="27" t="s">
        <v>13</v>
      </c>
      <c r="J19" s="28" t="s">
        <v>14</v>
      </c>
      <c r="K19" s="27" t="s">
        <v>18</v>
      </c>
      <c r="L19" s="28" t="s">
        <v>19</v>
      </c>
      <c r="N19" t="str">
        <f>"("&amp;A19 &amp;","&amp; _xlfn.TEXTJOIN(",",A19,createTextWithSingleQuote(B19),createTextWithSingleQuote(C19),createTextWithSingleQuote(H19),createTextWithSingleQuote(I19),createTextWithSingleQuote(J19),createTextWithSingleQuote(K19),createTextWithSingleQuote(L19))&amp;"),"</f>
        <v>(111130,'CICELY''S HAIR &amp; BTY.','BEAUTY SHOP','Change from R2 to R1','R2','R1','z02OTHER','z01OTHER'),</v>
      </c>
    </row>
    <row r="20" spans="1:14" ht="15.75" thickBot="1" x14ac:dyDescent="0.3">
      <c r="A20" s="23">
        <v>101226</v>
      </c>
      <c r="B20" s="23" t="s">
        <v>36</v>
      </c>
      <c r="C20" s="23" t="s">
        <v>29</v>
      </c>
      <c r="D20" s="24">
        <v>6729</v>
      </c>
      <c r="E20" s="25">
        <v>7369</v>
      </c>
      <c r="F20" s="25">
        <v>12300</v>
      </c>
      <c r="G20" s="26">
        <v>10191</v>
      </c>
      <c r="H20" s="23" t="s">
        <v>12</v>
      </c>
      <c r="I20" s="27" t="s">
        <v>13</v>
      </c>
      <c r="J20" s="28" t="s">
        <v>14</v>
      </c>
      <c r="K20" s="27" t="s">
        <v>18</v>
      </c>
      <c r="L20" s="28" t="s">
        <v>19</v>
      </c>
      <c r="N20" t="str">
        <f>"("&amp;A20 &amp;","&amp; _xlfn.TEXTJOIN(",",A20,createTextWithSingleQuote(B20),createTextWithSingleQuote(C20),createTextWithSingleQuote(H20),createTextWithSingleQuote(I20),createTextWithSingleQuote(J20),createTextWithSingleQuote(K20),createTextWithSingleQuote(L20))&amp;"),"</f>
        <v>(101226,'ALBERTO CORTES COSMETICS &amp; PER','BEAUTY SHOP','Change from R2 to R1','R2','R1','z02OTHER','z01OTHER'),</v>
      </c>
    </row>
    <row r="21" spans="1:14" ht="15.75" thickBot="1" x14ac:dyDescent="0.3">
      <c r="A21" s="23">
        <v>141882</v>
      </c>
      <c r="B21" s="23" t="s">
        <v>37</v>
      </c>
      <c r="C21" s="23" t="s">
        <v>38</v>
      </c>
      <c r="D21" s="24">
        <v>1657</v>
      </c>
      <c r="E21" s="25">
        <v>836</v>
      </c>
      <c r="F21" s="25">
        <v>6461</v>
      </c>
      <c r="G21" s="26">
        <v>9146</v>
      </c>
      <c r="H21" s="23" t="s">
        <v>12</v>
      </c>
      <c r="I21" s="27" t="s">
        <v>13</v>
      </c>
      <c r="J21" s="28" t="s">
        <v>14</v>
      </c>
      <c r="K21" s="27" t="s">
        <v>18</v>
      </c>
      <c r="L21" s="28" t="s">
        <v>19</v>
      </c>
      <c r="N21" t="str">
        <f>"("&amp;A21 &amp;","&amp; _xlfn.TEXTJOIN(",",A21,createTextWithSingleQuote(B21),createTextWithSingleQuote(C21),createTextWithSingleQuote(H21),createTextWithSingleQuote(I21),createTextWithSingleQuote(J21),createTextWithSingleQuote(K21),createTextWithSingleQuote(L21))&amp;"),"</f>
        <v>(141882,'MACRO STORE LLC.','ALT CHANNEL','Change from R2 to R1','R2','R1','z02OTHER','z01OTHER'),</v>
      </c>
    </row>
    <row r="22" spans="1:14" ht="15.75" thickBot="1" x14ac:dyDescent="0.3">
      <c r="A22" s="23">
        <v>105421</v>
      </c>
      <c r="B22" s="23" t="s">
        <v>39</v>
      </c>
      <c r="C22" s="23" t="s">
        <v>29</v>
      </c>
      <c r="D22" s="24">
        <v>4266</v>
      </c>
      <c r="E22" s="30" t="s">
        <v>31</v>
      </c>
      <c r="F22" s="30" t="s">
        <v>31</v>
      </c>
      <c r="G22" s="26">
        <v>6509</v>
      </c>
      <c r="H22" s="23" t="s">
        <v>12</v>
      </c>
      <c r="I22" s="27" t="s">
        <v>13</v>
      </c>
      <c r="J22" s="28" t="s">
        <v>14</v>
      </c>
      <c r="K22" s="27" t="s">
        <v>18</v>
      </c>
      <c r="L22" s="28" t="s">
        <v>19</v>
      </c>
      <c r="N22" t="str">
        <f>"("&amp;A22 &amp;","&amp; _xlfn.TEXTJOIN(",",A22,createTextWithSingleQuote(B22),createTextWithSingleQuote(C22),createTextWithSingleQuote(H22),createTextWithSingleQuote(I22),createTextWithSingleQuote(J22),createTextWithSingleQuote(K22),createTextWithSingleQuote(L22))&amp;"),"</f>
        <v>(105421,'BEAUTY WORLD -DURHAM','BEAUTY SHOP','Change from R2 to R1','R2','R1','z02OTHER','z01OTHER'),</v>
      </c>
    </row>
    <row r="23" spans="1:14" ht="15.75" thickBot="1" x14ac:dyDescent="0.3">
      <c r="A23" s="23">
        <v>171212</v>
      </c>
      <c r="B23" s="23" t="s">
        <v>40</v>
      </c>
      <c r="C23" s="23" t="s">
        <v>29</v>
      </c>
      <c r="D23" s="29" t="s">
        <v>31</v>
      </c>
      <c r="E23" s="30" t="s">
        <v>31</v>
      </c>
      <c r="F23" s="25">
        <v>14138</v>
      </c>
      <c r="G23" s="26">
        <v>5029</v>
      </c>
      <c r="H23" s="23" t="s">
        <v>12</v>
      </c>
      <c r="I23" s="27" t="s">
        <v>13</v>
      </c>
      <c r="J23" s="28" t="s">
        <v>14</v>
      </c>
      <c r="K23" s="27" t="s">
        <v>18</v>
      </c>
      <c r="L23" s="28" t="s">
        <v>19</v>
      </c>
      <c r="N23" t="str">
        <f>"("&amp;A23 &amp;","&amp; _xlfn.TEXTJOIN(",",A23,createTextWithSingleQuote(B23),createTextWithSingleQuote(C23),createTextWithSingleQuote(H23),createTextWithSingleQuote(I23),createTextWithSingleQuote(J23),createTextWithSingleQuote(K23),createTextWithSingleQuote(L23))&amp;"),"</f>
        <v>(171212,'W.B.E. HAIR DESIGN','BEAUTY SHOP','Change from R2 to R1','R2','R1','z02OTHER','z01OTHER'),</v>
      </c>
    </row>
    <row r="24" spans="1:14" ht="15.75" thickBot="1" x14ac:dyDescent="0.3">
      <c r="A24" s="23">
        <v>116624</v>
      </c>
      <c r="B24" s="23" t="s">
        <v>41</v>
      </c>
      <c r="C24" s="23" t="s">
        <v>42</v>
      </c>
      <c r="D24" s="24">
        <v>4837</v>
      </c>
      <c r="E24" s="25">
        <v>5557</v>
      </c>
      <c r="F24" s="25">
        <v>4134</v>
      </c>
      <c r="G24" s="26">
        <v>4502</v>
      </c>
      <c r="H24" s="23" t="s">
        <v>12</v>
      </c>
      <c r="I24" s="27" t="s">
        <v>13</v>
      </c>
      <c r="J24" s="28" t="s">
        <v>14</v>
      </c>
      <c r="K24" s="27" t="s">
        <v>18</v>
      </c>
      <c r="L24" s="28" t="s">
        <v>19</v>
      </c>
      <c r="N24" t="str">
        <f>"("&amp;A24 &amp;","&amp; _xlfn.TEXTJOIN(",",A24,createTextWithSingleQuote(B24),createTextWithSingleQuote(C24),createTextWithSingleQuote(H24),createTextWithSingleQuote(I24),createTextWithSingleQuote(J24),createTextWithSingleQuote(K24),createTextWithSingleQuote(L24))&amp;"),"</f>
        <v>(116624,'DRUG EMPORIUM 262','DRUG','Change from R2 to R1','R2','R1','z02OTHER','z01OTHER'),</v>
      </c>
    </row>
    <row r="25" spans="1:14" ht="15.75" thickBot="1" x14ac:dyDescent="0.3">
      <c r="A25" s="23">
        <v>109500</v>
      </c>
      <c r="B25" s="23" t="s">
        <v>43</v>
      </c>
      <c r="C25" s="23" t="s">
        <v>11</v>
      </c>
      <c r="D25" s="24">
        <v>2354</v>
      </c>
      <c r="E25" s="25">
        <v>1849</v>
      </c>
      <c r="F25" s="25">
        <v>2002</v>
      </c>
      <c r="G25" s="26">
        <v>1002</v>
      </c>
      <c r="H25" s="23" t="s">
        <v>12</v>
      </c>
      <c r="I25" s="27" t="s">
        <v>13</v>
      </c>
      <c r="J25" s="28" t="s">
        <v>14</v>
      </c>
      <c r="K25" s="27" t="s">
        <v>18</v>
      </c>
      <c r="L25" s="28" t="s">
        <v>19</v>
      </c>
      <c r="N25" t="str">
        <f>"("&amp;A25 &amp;","&amp; _xlfn.TEXTJOIN(",",A25,createTextWithSingleQuote(B25),createTextWithSingleQuote(C25),createTextWithSingleQuote(H25),createTextWithSingleQuote(I25),createTextWithSingleQuote(J25),createTextWithSingleQuote(K25),createTextWithSingleQuote(L25))&amp;"),"</f>
        <v>(109500,'CARIBBEAN PHARMACEUTICALS','WHOLESALER','Change from R2 to R1','R2','R1','z02OTHER','z01OTHER'),</v>
      </c>
    </row>
    <row r="26" spans="1:14" ht="15.75" thickBot="1" x14ac:dyDescent="0.3">
      <c r="A26" s="23">
        <v>100115</v>
      </c>
      <c r="B26" s="23" t="s">
        <v>44</v>
      </c>
      <c r="C26" s="23" t="s">
        <v>11</v>
      </c>
      <c r="D26" s="29" t="s">
        <v>31</v>
      </c>
      <c r="E26" s="30" t="s">
        <v>31</v>
      </c>
      <c r="F26" s="25">
        <v>11121</v>
      </c>
      <c r="G26" s="31" t="s">
        <v>31</v>
      </c>
      <c r="H26" s="23" t="s">
        <v>12</v>
      </c>
      <c r="I26" s="27" t="s">
        <v>13</v>
      </c>
      <c r="J26" s="28" t="s">
        <v>14</v>
      </c>
      <c r="K26" s="27" t="s">
        <v>18</v>
      </c>
      <c r="L26" s="28" t="s">
        <v>19</v>
      </c>
      <c r="N26" t="str">
        <f>"("&amp;A26 &amp;","&amp; _xlfn.TEXTJOIN(",",A26,createTextWithSingleQuote(B26),createTextWithSingleQuote(C26),createTextWithSingleQuote(H26),createTextWithSingleQuote(I26),createTextWithSingleQuote(J26),createTextWithSingleQuote(K26),createTextWithSingleQuote(L26))&amp;"),"</f>
        <v>(100115,'ATLANTA 1 TRADING','WHOLESALER','Change from R2 to R1','R2','R1','z02OTHER','z01OTHER'),</v>
      </c>
    </row>
    <row r="27" spans="1:14" ht="15.75" thickBot="1" x14ac:dyDescent="0.3">
      <c r="A27" s="23">
        <v>105400</v>
      </c>
      <c r="B27" s="23" t="s">
        <v>45</v>
      </c>
      <c r="C27" s="23" t="s">
        <v>11</v>
      </c>
      <c r="D27" s="24">
        <v>15111</v>
      </c>
      <c r="E27" s="25">
        <v>7312</v>
      </c>
      <c r="F27" s="25">
        <v>9160</v>
      </c>
      <c r="G27" s="31" t="s">
        <v>31</v>
      </c>
      <c r="H27" s="23" t="s">
        <v>12</v>
      </c>
      <c r="I27" s="27" t="s">
        <v>13</v>
      </c>
      <c r="J27" s="28" t="s">
        <v>14</v>
      </c>
      <c r="K27" s="27" t="s">
        <v>18</v>
      </c>
      <c r="L27" s="28" t="s">
        <v>19</v>
      </c>
      <c r="N27" t="str">
        <f>"("&amp;A27 &amp;","&amp; _xlfn.TEXTJOIN(",",A27,createTextWithSingleQuote(B27),createTextWithSingleQuote(C27),createTextWithSingleQuote(H27),createTextWithSingleQuote(I27),createTextWithSingleQuote(J27),createTextWithSingleQuote(K27),createTextWithSingleQuote(L27))&amp;"),"</f>
        <v>(105400,'USA BEAUTY CARE INC.','WHOLESALER','Change from R2 to R1','R2','R1','z02OTHER','z01OTHER'),</v>
      </c>
    </row>
    <row r="28" spans="1:14" ht="15.75" thickBot="1" x14ac:dyDescent="0.3">
      <c r="A28" s="23">
        <v>100830</v>
      </c>
      <c r="B28" s="23" t="s">
        <v>46</v>
      </c>
      <c r="C28" s="23" t="s">
        <v>29</v>
      </c>
      <c r="D28" s="24">
        <v>6227</v>
      </c>
      <c r="E28" s="25">
        <v>9168</v>
      </c>
      <c r="F28" s="25">
        <v>4403</v>
      </c>
      <c r="G28" s="31" t="s">
        <v>31</v>
      </c>
      <c r="H28" s="23" t="s">
        <v>12</v>
      </c>
      <c r="I28" s="27" t="s">
        <v>13</v>
      </c>
      <c r="J28" s="28" t="s">
        <v>14</v>
      </c>
      <c r="K28" s="27" t="s">
        <v>18</v>
      </c>
      <c r="L28" s="28" t="s">
        <v>19</v>
      </c>
      <c r="N28" t="str">
        <f>"("&amp;A28 &amp;","&amp; _xlfn.TEXTJOIN(",",A28,createTextWithSingleQuote(B28),createTextWithSingleQuote(C28),createTextWithSingleQuote(H28),createTextWithSingleQuote(I28),createTextWithSingleQuote(J28),createTextWithSingleQuote(K28),createTextWithSingleQuote(L28))&amp;"),"</f>
        <v>(100830,'ADONIS BEAUTY INC.','BEAUTY SHOP','Change from R2 to R1','R2','R1','z02OTHER','z01OTHER'),</v>
      </c>
    </row>
    <row r="29" spans="1:14" ht="15.75" thickBot="1" x14ac:dyDescent="0.3">
      <c r="A29" s="23">
        <v>101423</v>
      </c>
      <c r="B29" s="23" t="s">
        <v>47</v>
      </c>
      <c r="C29" s="23" t="s">
        <v>48</v>
      </c>
      <c r="D29" s="29" t="s">
        <v>31</v>
      </c>
      <c r="E29" s="30" t="s">
        <v>31</v>
      </c>
      <c r="F29" s="30" t="s">
        <v>31</v>
      </c>
      <c r="G29" s="31" t="s">
        <v>31</v>
      </c>
      <c r="H29" s="23" t="s">
        <v>12</v>
      </c>
      <c r="I29" s="27" t="s">
        <v>13</v>
      </c>
      <c r="J29" s="28" t="s">
        <v>14</v>
      </c>
      <c r="K29" s="27" t="s">
        <v>18</v>
      </c>
      <c r="L29" s="28" t="s">
        <v>19</v>
      </c>
      <c r="N29" t="str">
        <f>"("&amp;A29 &amp;","&amp; _xlfn.TEXTJOIN(",",A29,createTextWithSingleQuote(B29),createTextWithSingleQuote(C29),createTextWithSingleQuote(H29),createTextWithSingleQuote(I29),createTextWithSingleQuote(J29),createTextWithSingleQuote(K29),createTextWithSingleQuote(L29))&amp;"),"</f>
        <v>(101423,'FIRST CHOICE 2015 INC.','---','Change from R2 to R1','R2','R1','z02OTHER','z01OTHER'),</v>
      </c>
    </row>
    <row r="30" spans="1:14" ht="15.75" thickBot="1" x14ac:dyDescent="0.3">
      <c r="A30" s="23">
        <v>172037</v>
      </c>
      <c r="B30" s="23" t="s">
        <v>49</v>
      </c>
      <c r="C30" s="23" t="s">
        <v>48</v>
      </c>
      <c r="D30" s="24">
        <v>23274</v>
      </c>
      <c r="E30" s="30" t="s">
        <v>31</v>
      </c>
      <c r="F30" s="30" t="s">
        <v>31</v>
      </c>
      <c r="G30" s="31" t="s">
        <v>31</v>
      </c>
      <c r="H30" s="23" t="s">
        <v>12</v>
      </c>
      <c r="I30" s="27" t="s">
        <v>13</v>
      </c>
      <c r="J30" s="28" t="s">
        <v>14</v>
      </c>
      <c r="K30" s="27" t="s">
        <v>18</v>
      </c>
      <c r="L30" s="28" t="s">
        <v>19</v>
      </c>
      <c r="N30" t="str">
        <f>"("&amp;A30 &amp;","&amp; _xlfn.TEXTJOIN(",",A30,createTextWithSingleQuote(B30),createTextWithSingleQuote(C30),createTextWithSingleQuote(H30),createTextWithSingleQuote(I30),createTextWithSingleQuote(J30),createTextWithSingleQuote(K30),createTextWithSingleQuote(L30))&amp;"),"</f>
        <v>(172037,'WE GROWING INC.','---','Change from R2 to R1','R2','R1','z02OTHER','z01OTHER'),</v>
      </c>
    </row>
    <row r="31" spans="1:14" ht="15.75" thickBot="1" x14ac:dyDescent="0.3">
      <c r="A31" s="23">
        <v>138443</v>
      </c>
      <c r="B31" s="23" t="s">
        <v>50</v>
      </c>
      <c r="C31" s="23" t="s">
        <v>48</v>
      </c>
      <c r="D31" s="29" t="s">
        <v>31</v>
      </c>
      <c r="E31" s="30" t="s">
        <v>31</v>
      </c>
      <c r="F31" s="30" t="s">
        <v>31</v>
      </c>
      <c r="G31" s="31" t="s">
        <v>31</v>
      </c>
      <c r="H31" s="23" t="s">
        <v>12</v>
      </c>
      <c r="I31" s="27" t="s">
        <v>13</v>
      </c>
      <c r="J31" s="28" t="s">
        <v>14</v>
      </c>
      <c r="K31" s="27" t="s">
        <v>18</v>
      </c>
      <c r="L31" s="28" t="s">
        <v>19</v>
      </c>
      <c r="N31" t="str">
        <f>"("&amp;A31 &amp;","&amp; _xlfn.TEXTJOIN(",",A31,createTextWithSingleQuote(B31),createTextWithSingleQuote(C31),createTextWithSingleQuote(H31),createTextWithSingleQuote(I31),createTextWithSingleQuote(J31),createTextWithSingleQuote(K31),createTextWithSingleQuote(L31))&amp;"),"</f>
        <v>(138443,'FOUR SEASONS GENERAL MDSE','---','Change from R2 to R1','R2','R1','z02OTHER','z01OTHER'),</v>
      </c>
    </row>
    <row r="32" spans="1:14" ht="15.75" thickBot="1" x14ac:dyDescent="0.3">
      <c r="A32" s="23">
        <v>145440</v>
      </c>
      <c r="B32" s="23" t="s">
        <v>51</v>
      </c>
      <c r="C32" s="23" t="s">
        <v>48</v>
      </c>
      <c r="D32" s="24">
        <v>2430</v>
      </c>
      <c r="E32" s="25">
        <v>3032</v>
      </c>
      <c r="F32" s="30" t="s">
        <v>31</v>
      </c>
      <c r="G32" s="31" t="s">
        <v>31</v>
      </c>
      <c r="H32" s="23" t="s">
        <v>12</v>
      </c>
      <c r="I32" s="27" t="s">
        <v>13</v>
      </c>
      <c r="J32" s="28" t="s">
        <v>14</v>
      </c>
      <c r="K32" s="27" t="s">
        <v>18</v>
      </c>
      <c r="L32" s="28" t="s">
        <v>19</v>
      </c>
      <c r="N32" t="str">
        <f>"("&amp;A32 &amp;","&amp; _xlfn.TEXTJOIN(",",A32,createTextWithSingleQuote(B32),createTextWithSingleQuote(C32),createTextWithSingleQuote(H32),createTextWithSingleQuote(I32),createTextWithSingleQuote(J32),createTextWithSingleQuote(K32),createTextWithSingleQuote(L32))&amp;"),"</f>
        <v>(145440,'MINIMUS','---','Change from R2 to R1','R2','R1','z02OTHER','z01OTHER'),</v>
      </c>
    </row>
    <row r="33" spans="1:14" ht="15.75" thickBot="1" x14ac:dyDescent="0.3">
      <c r="A33" s="23">
        <v>168545</v>
      </c>
      <c r="B33" s="23" t="s">
        <v>52</v>
      </c>
      <c r="C33" s="23" t="s">
        <v>48</v>
      </c>
      <c r="D33" s="29" t="s">
        <v>31</v>
      </c>
      <c r="E33" s="25">
        <v>2557</v>
      </c>
      <c r="F33" s="30" t="s">
        <v>31</v>
      </c>
      <c r="G33" s="31" t="s">
        <v>31</v>
      </c>
      <c r="H33" s="23" t="s">
        <v>12</v>
      </c>
      <c r="I33" s="27" t="s">
        <v>13</v>
      </c>
      <c r="J33" s="28" t="s">
        <v>14</v>
      </c>
      <c r="K33" s="27" t="s">
        <v>18</v>
      </c>
      <c r="L33" s="28" t="s">
        <v>19</v>
      </c>
      <c r="N33" t="str">
        <f>"("&amp;A33 &amp;","&amp; _xlfn.TEXTJOIN(",",A33,createTextWithSingleQuote(B33),createTextWithSingleQuote(C33),createTextWithSingleQuote(H33),createTextWithSingleQuote(I33),createTextWithSingleQuote(J33),createTextWithSingleQuote(K33),createTextWithSingleQuote(L33))&amp;"),"</f>
        <v>(168545,'TEN TEN TRADING','---','Change from R2 to R1','R2','R1','z02OTHER','z01OTHER'),</v>
      </c>
    </row>
    <row r="34" spans="1:14" ht="15.75" thickBot="1" x14ac:dyDescent="0.3">
      <c r="A34" s="23">
        <v>110409</v>
      </c>
      <c r="B34" s="23" t="s">
        <v>53</v>
      </c>
      <c r="C34" s="23" t="s">
        <v>48</v>
      </c>
      <c r="D34" s="24">
        <v>8546</v>
      </c>
      <c r="E34" s="30" t="s">
        <v>31</v>
      </c>
      <c r="F34" s="30" t="s">
        <v>31</v>
      </c>
      <c r="G34" s="31" t="s">
        <v>31</v>
      </c>
      <c r="H34" s="23" t="s">
        <v>12</v>
      </c>
      <c r="I34" s="27" t="s">
        <v>13</v>
      </c>
      <c r="J34" s="28" t="s">
        <v>14</v>
      </c>
      <c r="K34" s="27" t="s">
        <v>18</v>
      </c>
      <c r="L34" s="28" t="s">
        <v>19</v>
      </c>
      <c r="N34" t="str">
        <f>"("&amp;A34 &amp;","&amp; _xlfn.TEXTJOIN(",",A34,createTextWithSingleQuote(B34),createTextWithSingleQuote(C34),createTextWithSingleQuote(H34),createTextWithSingleQuote(I34),createTextWithSingleQuote(J34),createTextWithSingleQuote(K34),createTextWithSingleQuote(L34))&amp;"),"</f>
        <v>(110409,'U.S. TRADING','---','Change from R2 to R1','R2','R1','z02OTHER','z01OTHER'),</v>
      </c>
    </row>
    <row r="35" spans="1:14" ht="15.75" thickBot="1" x14ac:dyDescent="0.3">
      <c r="A35" s="23">
        <v>100335</v>
      </c>
      <c r="B35" s="23" t="s">
        <v>54</v>
      </c>
      <c r="C35" s="23" t="s">
        <v>48</v>
      </c>
      <c r="D35" s="29" t="s">
        <v>31</v>
      </c>
      <c r="E35" s="30" t="s">
        <v>31</v>
      </c>
      <c r="F35" s="30" t="s">
        <v>31</v>
      </c>
      <c r="G35" s="31" t="s">
        <v>31</v>
      </c>
      <c r="H35" s="23" t="s">
        <v>12</v>
      </c>
      <c r="I35" s="27" t="s">
        <v>13</v>
      </c>
      <c r="J35" s="28" t="s">
        <v>14</v>
      </c>
      <c r="K35" s="27" t="s">
        <v>18</v>
      </c>
      <c r="L35" s="28" t="s">
        <v>19</v>
      </c>
      <c r="N35" t="str">
        <f>"("&amp;A35 &amp;","&amp; _xlfn.TEXTJOIN(",",A35,createTextWithSingleQuote(B35),createTextWithSingleQuote(C35),createTextWithSingleQuote(H35),createTextWithSingleQuote(I35),createTextWithSingleQuote(J35),createTextWithSingleQuote(K35),createTextWithSingleQuote(L35))&amp;"),"</f>
        <v>(100335,'ATLASSPHERE USA LLC','---','Change from R2 to R1','R2','R1','z02OTHER','z01OTHER'),</v>
      </c>
    </row>
    <row r="36" spans="1:14" ht="15.75" thickBot="1" x14ac:dyDescent="0.3">
      <c r="A36" s="23">
        <v>123538</v>
      </c>
      <c r="B36" s="23" t="s">
        <v>55</v>
      </c>
      <c r="C36" s="23" t="s">
        <v>48</v>
      </c>
      <c r="D36" s="24">
        <v>5578</v>
      </c>
      <c r="E36" s="30" t="s">
        <v>31</v>
      </c>
      <c r="F36" s="30" t="s">
        <v>31</v>
      </c>
      <c r="G36" s="31" t="s">
        <v>31</v>
      </c>
      <c r="H36" s="23" t="s">
        <v>12</v>
      </c>
      <c r="I36" s="27" t="s">
        <v>13</v>
      </c>
      <c r="J36" s="28" t="s">
        <v>14</v>
      </c>
      <c r="K36" s="27" t="s">
        <v>18</v>
      </c>
      <c r="L36" s="28" t="s">
        <v>19</v>
      </c>
      <c r="N36" t="str">
        <f>"("&amp;A36 &amp;","&amp; _xlfn.TEXTJOIN(",",A36,createTextWithSingleQuote(B36),createTextWithSingleQuote(C36),createTextWithSingleQuote(H36),createTextWithSingleQuote(I36),createTextWithSingleQuote(J36),createTextWithSingleQuote(K36),createTextWithSingleQuote(L36))&amp;"),"</f>
        <v>(123538,'GENESIS BEAUTY LLC DBA BEAUTY WORLD','---','Change from R2 to R1','R2','R1','z02OTHER','z01OTHER'),</v>
      </c>
    </row>
    <row r="37" spans="1:14" ht="15.75" thickBot="1" x14ac:dyDescent="0.3">
      <c r="A37" s="23">
        <v>124121</v>
      </c>
      <c r="B37" s="23" t="s">
        <v>56</v>
      </c>
      <c r="C37" s="23" t="s">
        <v>48</v>
      </c>
      <c r="D37" s="24">
        <v>12254</v>
      </c>
      <c r="E37" s="30" t="s">
        <v>31</v>
      </c>
      <c r="F37" s="30" t="s">
        <v>31</v>
      </c>
      <c r="G37" s="31" t="s">
        <v>31</v>
      </c>
      <c r="H37" s="23" t="s">
        <v>57</v>
      </c>
      <c r="I37" s="27" t="s">
        <v>58</v>
      </c>
      <c r="J37" s="28" t="s">
        <v>14</v>
      </c>
      <c r="K37" s="27" t="s">
        <v>59</v>
      </c>
      <c r="L37" s="28" t="s">
        <v>19</v>
      </c>
      <c r="N37" t="str">
        <f>"("&amp;A37 &amp;","&amp; _xlfn.TEXTJOIN(",",A37,createTextWithSingleQuote(B37),createTextWithSingleQuote(C37),createTextWithSingleQuote(H37),createTextWithSingleQuote(I37),createTextWithSingleQuote(J37),createTextWithSingleQuote(K37),createTextWithSingleQuote(L37))&amp;"),"</f>
        <v>(124121,'GLOBAL DISTRIBUTORS, INC.','---','Change from R4 to R1','R4','R1','z04OTHER','z01OTHER'),</v>
      </c>
    </row>
    <row r="38" spans="1:14" x14ac:dyDescent="0.25">
      <c r="A38" s="11">
        <v>142850</v>
      </c>
      <c r="B38" s="11" t="s">
        <v>60</v>
      </c>
      <c r="C38" s="11" t="s">
        <v>48</v>
      </c>
      <c r="D38" s="9" t="s">
        <v>31</v>
      </c>
      <c r="E38" s="13">
        <v>9121</v>
      </c>
      <c r="F38" s="32" t="s">
        <v>31</v>
      </c>
      <c r="G38" s="10" t="s">
        <v>31</v>
      </c>
      <c r="H38" s="11" t="s">
        <v>57</v>
      </c>
      <c r="I38" s="15" t="s">
        <v>58</v>
      </c>
      <c r="J38" s="16" t="s">
        <v>14</v>
      </c>
      <c r="K38" s="15" t="s">
        <v>59</v>
      </c>
      <c r="L38" s="16" t="s">
        <v>19</v>
      </c>
      <c r="N38" t="str">
        <f>"("&amp;A38 &amp;","&amp; _xlfn.TEXTJOIN(",",A38,createTextWithSingleQuote(B38),createTextWithSingleQuote(C38),createTextWithSingleQuote(H38),createTextWithSingleQuote(I38),createTextWithSingleQuote(J38),createTextWithSingleQuote(K38),createTextWithSingleQuote(L38))&amp;"),"</f>
        <v>(142850,'MAMADO INTERNATIONAL LLC','---','Change from R4 to R1','R4','R1','z04OTHER','z01OTHER'),</v>
      </c>
    </row>
    <row r="39" spans="1:14" ht="15.75" thickBot="1" x14ac:dyDescent="0.3">
      <c r="A39" s="38" t="s">
        <v>61</v>
      </c>
      <c r="B39" s="38"/>
      <c r="C39" s="43"/>
      <c r="D39" s="9"/>
      <c r="E39" s="43"/>
      <c r="F39" s="43"/>
      <c r="G39" s="10"/>
      <c r="H39" s="43"/>
      <c r="I39" s="43"/>
      <c r="J39" s="43"/>
      <c r="K39" s="43"/>
      <c r="L39" s="43"/>
    </row>
    <row r="40" spans="1:14" ht="15.75" thickBot="1" x14ac:dyDescent="0.3">
      <c r="A40" s="17">
        <v>137650</v>
      </c>
      <c r="B40" s="17" t="s">
        <v>62</v>
      </c>
      <c r="C40" s="17" t="s">
        <v>63</v>
      </c>
      <c r="D40" s="18">
        <v>1359013</v>
      </c>
      <c r="E40" s="19">
        <v>1563341</v>
      </c>
      <c r="F40" s="19">
        <v>1874229</v>
      </c>
      <c r="G40" s="20">
        <v>2181872</v>
      </c>
      <c r="H40" s="17" t="s">
        <v>64</v>
      </c>
      <c r="I40" s="21" t="s">
        <v>65</v>
      </c>
      <c r="J40" s="22" t="s">
        <v>13</v>
      </c>
      <c r="K40" s="21" t="s">
        <v>66</v>
      </c>
      <c r="L40" s="22" t="s">
        <v>67</v>
      </c>
      <c r="N40" t="str">
        <f>"("&amp;A40 &amp;","&amp; _xlfn.TEXTJOIN(",",A40,createTextWithSingleQuote(B40),createTextWithSingleQuote(C40),createTextWithSingleQuote(H40),createTextWithSingleQuote(I40),createTextWithSingleQuote(J40),createTextWithSingleQuote(K40),createTextWithSingleQuote(L40))&amp;"),"</f>
        <v>(137650,'PEYTON''S INC.','FOOD','Change from R6 to R2','R6','R2','z06PEYTON','z02PEYTON'),</v>
      </c>
    </row>
    <row r="41" spans="1:14" ht="15.75" thickBot="1" x14ac:dyDescent="0.3">
      <c r="A41" s="23">
        <v>143526</v>
      </c>
      <c r="B41" s="23" t="s">
        <v>68</v>
      </c>
      <c r="C41" s="23" t="s">
        <v>63</v>
      </c>
      <c r="D41" s="24">
        <v>617060</v>
      </c>
      <c r="E41" s="25">
        <v>700691</v>
      </c>
      <c r="F41" s="25">
        <v>801146</v>
      </c>
      <c r="G41" s="26">
        <v>891540</v>
      </c>
      <c r="H41" s="23" t="s">
        <v>64</v>
      </c>
      <c r="I41" s="27" t="s">
        <v>65</v>
      </c>
      <c r="J41" s="28" t="s">
        <v>13</v>
      </c>
      <c r="K41" s="27" t="s">
        <v>69</v>
      </c>
      <c r="L41" s="28" t="s">
        <v>70</v>
      </c>
      <c r="N41" t="str">
        <f>"("&amp;A41 &amp;","&amp; _xlfn.TEXTJOIN(",",A41,createTextWithSingleQuote(B41),createTextWithSingleQuote(C41),createTextWithSingleQuote(H41),createTextWithSingleQuote(I41),createTextWithSingleQuote(J41),createTextWithSingleQuote(K41),createTextWithSingleQuote(L41))&amp;"),"</f>
        <v>(143526,'MEIJER INC.','FOOD','Change from R6 to R2','R6','R2','z06MEIJER','z02MEIJER'),</v>
      </c>
    </row>
    <row r="42" spans="1:14" ht="15.75" thickBot="1" x14ac:dyDescent="0.3">
      <c r="A42" s="23">
        <v>135525</v>
      </c>
      <c r="B42" s="23" t="s">
        <v>72</v>
      </c>
      <c r="C42" s="23" t="s">
        <v>11</v>
      </c>
      <c r="D42" s="24">
        <v>70421</v>
      </c>
      <c r="E42" s="25">
        <v>84999</v>
      </c>
      <c r="F42" s="25">
        <v>86630</v>
      </c>
      <c r="G42" s="26">
        <v>71248</v>
      </c>
      <c r="H42" s="23" t="s">
        <v>64</v>
      </c>
      <c r="I42" s="27" t="s">
        <v>65</v>
      </c>
      <c r="J42" s="28" t="s">
        <v>13</v>
      </c>
      <c r="K42" s="27" t="s">
        <v>73</v>
      </c>
      <c r="L42" s="28" t="s">
        <v>18</v>
      </c>
      <c r="N42" t="str">
        <f>"("&amp;A42 &amp;","&amp; _xlfn.TEXTJOIN(",",A42,createTextWithSingleQuote(B42),createTextWithSingleQuote(C42),createTextWithSingleQuote(H42),createTextWithSingleQuote(I42),createTextWithSingleQuote(J42),createTextWithSingleQuote(K42),createTextWithSingleQuote(L42))&amp;"),"</f>
        <v>(135525,'KEEFE SUPPLY COMPANY','WHOLESALER','Change from R6 to R2','R6','R2','z06OTHER','z02OTHER'),</v>
      </c>
    </row>
    <row r="43" spans="1:14" ht="15.75" thickBot="1" x14ac:dyDescent="0.3">
      <c r="A43" s="17">
        <v>106268</v>
      </c>
      <c r="B43" s="17" t="s">
        <v>74</v>
      </c>
      <c r="C43" s="17" t="s">
        <v>75</v>
      </c>
      <c r="D43" s="18">
        <v>662718</v>
      </c>
      <c r="E43" s="19">
        <v>687269</v>
      </c>
      <c r="F43" s="19">
        <v>393967</v>
      </c>
      <c r="G43" s="46" t="s">
        <v>31</v>
      </c>
      <c r="H43" s="17" t="s">
        <v>64</v>
      </c>
      <c r="I43" s="21" t="s">
        <v>65</v>
      </c>
      <c r="J43" s="22" t="s">
        <v>13</v>
      </c>
      <c r="K43" s="21" t="s">
        <v>76</v>
      </c>
      <c r="L43" s="22" t="s">
        <v>77</v>
      </c>
      <c r="N43" t="str">
        <f>"("&amp;A43 &amp;","&amp; _xlfn.TEXTJOIN(",",A43,createTextWithSingleQuote(B43),createTextWithSingleQuote(C43),createTextWithSingleQuote(H43),createTextWithSingleQuote(I43),createTextWithSingleQuote(J43),createTextWithSingleQuote(K43),createTextWithSingleQuote(L43))&amp;"),"</f>
        <v>(106268,'BIG LOTS STORES, INC.','VALUE','Change from R6 to R2','R6','R2','z06BIGLOTS','z02BIGLOTS'),</v>
      </c>
    </row>
    <row r="44" spans="1:14" ht="15.75" thickBot="1" x14ac:dyDescent="0.3">
      <c r="A44" s="39">
        <v>102725</v>
      </c>
      <c r="B44" s="39" t="s">
        <v>93</v>
      </c>
      <c r="C44" s="39"/>
      <c r="D44" s="44"/>
      <c r="E44" s="47"/>
      <c r="F44" s="47"/>
      <c r="G44" s="48"/>
      <c r="H44" s="39"/>
      <c r="I44" s="51" t="s">
        <v>14</v>
      </c>
      <c r="J44" s="52" t="s">
        <v>13</v>
      </c>
      <c r="K44" s="51" t="s">
        <v>19</v>
      </c>
      <c r="L44" s="52" t="s">
        <v>18</v>
      </c>
      <c r="N44" t="str">
        <f>"("&amp;A44 &amp;","&amp; _xlfn.TEXTJOIN(",",A44,createTextWithSingleQuote(B44),createTextWithSingleQuote(C44),createTextWithSingleQuote(H44),createTextWithSingleQuote(I44),createTextWithSingleQuote(J44),createTextWithSingleQuote(K44),createTextWithSingleQuote(L44))&amp;"),"</f>
        <v>(102725,'ASSOCIATED FOOD STORES','','','R1','R2','z01OTHER','z02OTHER'),</v>
      </c>
    </row>
    <row r="45" spans="1:14" ht="15.75" thickBot="1" x14ac:dyDescent="0.3">
      <c r="A45" s="42" t="s">
        <v>78</v>
      </c>
      <c r="B45" s="42"/>
      <c r="C45" s="43"/>
      <c r="D45" s="9"/>
      <c r="E45" s="43"/>
      <c r="F45" s="43"/>
      <c r="G45" s="10"/>
      <c r="H45" s="43"/>
      <c r="I45" s="43"/>
      <c r="J45" s="43"/>
      <c r="K45" s="43"/>
      <c r="L45" s="43"/>
    </row>
    <row r="46" spans="1:14" ht="15.75" thickBot="1" x14ac:dyDescent="0.3">
      <c r="A46" s="40">
        <v>137748</v>
      </c>
      <c r="B46" s="40" t="s">
        <v>71</v>
      </c>
      <c r="C46" s="40" t="s">
        <v>63</v>
      </c>
      <c r="D46" s="45" t="s">
        <v>31</v>
      </c>
      <c r="E46" s="49">
        <v>34428</v>
      </c>
      <c r="F46" s="49">
        <v>67860</v>
      </c>
      <c r="G46" s="50">
        <v>81360</v>
      </c>
      <c r="H46" s="40" t="s">
        <v>80</v>
      </c>
      <c r="I46" s="53" t="s">
        <v>14</v>
      </c>
      <c r="J46" s="54" t="s">
        <v>65</v>
      </c>
      <c r="K46" s="53" t="s">
        <v>19</v>
      </c>
      <c r="L46" s="54" t="s">
        <v>73</v>
      </c>
      <c r="N46" t="str">
        <f>"("&amp;A46 &amp;","&amp; _xlfn.TEXTJOIN(",",A46,createTextWithSingleQuote(B46),createTextWithSingleQuote(C46),createTextWithSingleQuote(H46),createTextWithSingleQuote(I46),createTextWithSingleQuote(J46),createTextWithSingleQuote(K46),createTextWithSingleQuote(L46))&amp;"),"</f>
        <v>(137748,'L&amp;R DISTRIBUTORS, INC.','FOOD','Change from R1 to R6','R1','R6','z01OTHER','z06OTHER'),</v>
      </c>
    </row>
    <row r="47" spans="1:14" ht="15.75" thickBot="1" x14ac:dyDescent="0.3">
      <c r="A47" s="17">
        <v>116657</v>
      </c>
      <c r="B47" s="17" t="s">
        <v>79</v>
      </c>
      <c r="C47" s="17" t="s">
        <v>34</v>
      </c>
      <c r="D47" s="18">
        <v>153145</v>
      </c>
      <c r="E47" s="19">
        <v>151952</v>
      </c>
      <c r="F47" s="19">
        <v>149831</v>
      </c>
      <c r="G47" s="20">
        <v>133608</v>
      </c>
      <c r="H47" s="17" t="s">
        <v>80</v>
      </c>
      <c r="I47" s="21" t="s">
        <v>14</v>
      </c>
      <c r="J47" s="22" t="s">
        <v>65</v>
      </c>
      <c r="K47" s="21" t="s">
        <v>19</v>
      </c>
      <c r="L47" s="22" t="s">
        <v>73</v>
      </c>
      <c r="N47" t="str">
        <f>"("&amp;A47 &amp;","&amp; _xlfn.TEXTJOIN(",",A47,createTextWithSingleQuote(B47),createTextWithSingleQuote(C47),createTextWithSingleQuote(H47),createTextWithSingleQuote(I47),createTextWithSingleQuote(J47),createTextWithSingleQuote(K47),createTextWithSingleQuote(L47))&amp;"),"</f>
        <v>(116657,'AMERISOURCE','DRUG WHOLESALER','Change from R1 to R6','R1','R6','z01OTHER','z06OTHER'),</v>
      </c>
    </row>
    <row r="48" spans="1:14" ht="15.75" thickBot="1" x14ac:dyDescent="0.3">
      <c r="A48" s="23">
        <v>141510</v>
      </c>
      <c r="B48" s="23" t="s">
        <v>81</v>
      </c>
      <c r="C48" s="23" t="s">
        <v>34</v>
      </c>
      <c r="D48" s="24">
        <v>232317</v>
      </c>
      <c r="E48" s="25">
        <v>180020</v>
      </c>
      <c r="F48" s="25">
        <v>178023</v>
      </c>
      <c r="G48" s="26">
        <v>101640</v>
      </c>
      <c r="H48" s="23" t="s">
        <v>82</v>
      </c>
      <c r="I48" s="27" t="s">
        <v>13</v>
      </c>
      <c r="J48" s="28" t="s">
        <v>65</v>
      </c>
      <c r="K48" s="27" t="s">
        <v>18</v>
      </c>
      <c r="L48" s="28" t="s">
        <v>73</v>
      </c>
      <c r="N48" t="str">
        <f>"("&amp;A48 &amp;","&amp; _xlfn.TEXTJOIN(",",A48,createTextWithSingleQuote(B48),createTextWithSingleQuote(C48),createTextWithSingleQuote(H48),createTextWithSingleQuote(I48),createTextWithSingleQuote(J48),createTextWithSingleQuote(K48),createTextWithSingleQuote(L48))&amp;"),"</f>
        <v>(141510,'MCKESSON','DRUG WHOLESALER','Change from R2 to R6','R2','R6','z02OTHER','z06OTHER'),</v>
      </c>
    </row>
    <row r="49" spans="1:14" ht="15.75" thickBot="1" x14ac:dyDescent="0.3">
      <c r="A49" s="23">
        <v>143455</v>
      </c>
      <c r="B49" s="23" t="s">
        <v>83</v>
      </c>
      <c r="C49" s="23"/>
      <c r="D49" s="29" t="s">
        <v>31</v>
      </c>
      <c r="E49" s="25">
        <v>963</v>
      </c>
      <c r="F49" s="25">
        <v>35416</v>
      </c>
      <c r="G49" s="26">
        <v>41192</v>
      </c>
      <c r="H49" s="23" t="s">
        <v>84</v>
      </c>
      <c r="I49" s="27" t="s">
        <v>58</v>
      </c>
      <c r="J49" s="28" t="s">
        <v>65</v>
      </c>
      <c r="K49" s="27" t="s">
        <v>59</v>
      </c>
      <c r="L49" s="28" t="s">
        <v>73</v>
      </c>
      <c r="N49" t="str">
        <f>"("&amp;A49 &amp;","&amp; _xlfn.TEXTJOIN(",",A49,createTextWithSingleQuote(B49),createTextWithSingleQuote(C49),createTextWithSingleQuote(H49),createTextWithSingleQuote(I49),createTextWithSingleQuote(J49),createTextWithSingleQuote(K49),createTextWithSingleQuote(L49))&amp;"),"</f>
        <v>(143455,'MEDLINE INDUSTRIES','','Change from R4 to R6','R4','R6','z04OTHER','z06OTHER'),</v>
      </c>
    </row>
    <row r="50" spans="1:14" ht="15.75" thickBot="1" x14ac:dyDescent="0.3">
      <c r="A50" s="23">
        <v>146255</v>
      </c>
      <c r="B50" s="23" t="s">
        <v>85</v>
      </c>
      <c r="C50" s="23" t="s">
        <v>34</v>
      </c>
      <c r="D50" s="24">
        <v>6973</v>
      </c>
      <c r="E50" s="25">
        <v>5591</v>
      </c>
      <c r="F50" s="25">
        <v>6786</v>
      </c>
      <c r="G50" s="26">
        <v>5636</v>
      </c>
      <c r="H50" s="23" t="s">
        <v>82</v>
      </c>
      <c r="I50" s="27" t="s">
        <v>13</v>
      </c>
      <c r="J50" s="28" t="s">
        <v>65</v>
      </c>
      <c r="K50" s="27" t="s">
        <v>18</v>
      </c>
      <c r="L50" s="28" t="s">
        <v>73</v>
      </c>
      <c r="N50" t="str">
        <f>"("&amp;A50 &amp;","&amp; _xlfn.TEXTJOIN(",",A50,createTextWithSingleQuote(B50),createTextWithSingleQuote(C50),createTextWithSingleQuote(H50),createTextWithSingleQuote(I50),createTextWithSingleQuote(J50),createTextWithSingleQuote(K50),createTextWithSingleQuote(L50))&amp;"),"</f>
        <v>(146255,'MORRIS &amp; DICKSON','DRUG WHOLESALER','Change from R2 to R6','R2','R6','z02OTHER','z06OTHER'),</v>
      </c>
    </row>
    <row r="51" spans="1:14" ht="15.75" thickBot="1" x14ac:dyDescent="0.3">
      <c r="A51" s="23">
        <v>147957</v>
      </c>
      <c r="B51" s="23" t="s">
        <v>86</v>
      </c>
      <c r="C51" s="23" t="s">
        <v>63</v>
      </c>
      <c r="D51" s="24">
        <v>78748</v>
      </c>
      <c r="E51" s="25">
        <v>100754</v>
      </c>
      <c r="F51" s="25">
        <v>76626</v>
      </c>
      <c r="G51" s="26">
        <v>5218</v>
      </c>
      <c r="H51" s="23" t="s">
        <v>82</v>
      </c>
      <c r="I51" s="27" t="s">
        <v>13</v>
      </c>
      <c r="J51" s="28" t="s">
        <v>65</v>
      </c>
      <c r="K51" s="27" t="s">
        <v>18</v>
      </c>
      <c r="L51" s="28" t="s">
        <v>73</v>
      </c>
      <c r="N51" t="str">
        <f>"("&amp;A51 &amp;","&amp; _xlfn.TEXTJOIN(",",A51,createTextWithSingleQuote(B51),createTextWithSingleQuote(C51),createTextWithSingleQuote(H51),createTextWithSingleQuote(I51),createTextWithSingleQuote(J51),createTextWithSingleQuote(K51),createTextWithSingleQuote(L51))&amp;"),"</f>
        <v>(147957,'NAVAJO MANUFACTURING CO.','FOOD','Change from R2 to R6','R2','R6','z02OTHER','z06OTHER'),</v>
      </c>
    </row>
    <row r="52" spans="1:14" ht="15.75" thickBot="1" x14ac:dyDescent="0.3">
      <c r="A52" s="23">
        <v>148725</v>
      </c>
      <c r="B52" s="23" t="s">
        <v>87</v>
      </c>
      <c r="C52" s="23" t="s">
        <v>34</v>
      </c>
      <c r="D52" s="24">
        <v>3543</v>
      </c>
      <c r="E52" s="25">
        <v>7003</v>
      </c>
      <c r="F52" s="25">
        <v>5393</v>
      </c>
      <c r="G52" s="26">
        <v>4304</v>
      </c>
      <c r="H52" s="23" t="s">
        <v>82</v>
      </c>
      <c r="I52" s="27" t="s">
        <v>13</v>
      </c>
      <c r="J52" s="28" t="s">
        <v>65</v>
      </c>
      <c r="K52" s="27" t="s">
        <v>18</v>
      </c>
      <c r="L52" s="28" t="s">
        <v>73</v>
      </c>
      <c r="N52" t="str">
        <f>"("&amp;A52 &amp;","&amp; _xlfn.TEXTJOIN(",",A52,createTextWithSingleQuote(B52),createTextWithSingleQuote(C52),createTextWithSingleQuote(H52),createTextWithSingleQuote(I52),createTextWithSingleQuote(J52),createTextWithSingleQuote(K52),createTextWithSingleQuote(L52))&amp;"),"</f>
        <v>(148725,'NC MUTUAL WHLSE DRUG CO','DRUG WHOLESALER','Change from R2 to R6','R2','R6','z02OTHER','z06OTHER'),</v>
      </c>
    </row>
    <row r="53" spans="1:14" ht="15.75" thickBot="1" x14ac:dyDescent="0.3">
      <c r="A53" s="23">
        <v>161125</v>
      </c>
      <c r="B53" s="23" t="s">
        <v>88</v>
      </c>
      <c r="C53" s="23" t="s">
        <v>34</v>
      </c>
      <c r="D53" s="24">
        <v>14328</v>
      </c>
      <c r="E53" s="25">
        <v>13647</v>
      </c>
      <c r="F53" s="25">
        <v>9525</v>
      </c>
      <c r="G53" s="26">
        <v>3836</v>
      </c>
      <c r="H53" s="23" t="s">
        <v>82</v>
      </c>
      <c r="I53" s="27" t="s">
        <v>13</v>
      </c>
      <c r="J53" s="28" t="s">
        <v>65</v>
      </c>
      <c r="K53" s="27" t="s">
        <v>18</v>
      </c>
      <c r="L53" s="28" t="s">
        <v>73</v>
      </c>
      <c r="N53" t="str">
        <f>"("&amp;A53 &amp;","&amp; _xlfn.TEXTJOIN(",",A53,createTextWithSingleQuote(B53),createTextWithSingleQuote(C53),createTextWithSingleQuote(H53),createTextWithSingleQuote(I53),createTextWithSingleQuote(J53),createTextWithSingleQuote(K53),createTextWithSingleQuote(L53))&amp;"),"</f>
        <v>(161125,'SMITH WHOLESALE DRUG','DRUG WHOLESALER','Change from R2 to R6','R2','R6','z02OTHER','z06OTHER'),</v>
      </c>
    </row>
    <row r="54" spans="1:14" ht="15.75" thickBot="1" x14ac:dyDescent="0.3">
      <c r="A54" s="23">
        <v>119142</v>
      </c>
      <c r="B54" s="23" t="s">
        <v>89</v>
      </c>
      <c r="C54" s="23" t="s">
        <v>48</v>
      </c>
      <c r="D54" s="29" t="s">
        <v>31</v>
      </c>
      <c r="E54" s="30" t="s">
        <v>31</v>
      </c>
      <c r="F54" s="30" t="s">
        <v>31</v>
      </c>
      <c r="G54" s="31" t="s">
        <v>31</v>
      </c>
      <c r="H54" s="23" t="s">
        <v>84</v>
      </c>
      <c r="I54" s="27" t="s">
        <v>58</v>
      </c>
      <c r="J54" s="28" t="s">
        <v>65</v>
      </c>
      <c r="K54" s="27" t="s">
        <v>59</v>
      </c>
      <c r="L54" s="28" t="s">
        <v>73</v>
      </c>
      <c r="N54" t="str">
        <f>"("&amp;A54 &amp;","&amp; _xlfn.TEXTJOIN(",",A54,createTextWithSingleQuote(B54),createTextWithSingleQuote(C54),createTextWithSingleQuote(H54),createTextWithSingleQuote(I54),createTextWithSingleQuote(J54),createTextWithSingleQuote(K54),createTextWithSingleQuote(L54))&amp;"),"</f>
        <v>(119142,'ENDURANCE REHABILITATION','---','Change from R4 to R6','R4','R6','z04OTHER','z06OTHER'),</v>
      </c>
    </row>
    <row r="55" spans="1:14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</sheetData>
  <mergeCells count="4">
    <mergeCell ref="D2:G2"/>
    <mergeCell ref="A4:B4"/>
    <mergeCell ref="A39:B39"/>
    <mergeCell ref="A45:B4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Yang</dc:creator>
  <cp:lastModifiedBy>Alex Yang</cp:lastModifiedBy>
  <dcterms:created xsi:type="dcterms:W3CDTF">2026-01-15T19:45:01Z</dcterms:created>
  <dcterms:modified xsi:type="dcterms:W3CDTF">2026-01-27T21:40:57Z</dcterms:modified>
</cp:coreProperties>
</file>